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ết quả ghi" sheetId="1" state="visible" r:id="rId3"/>
    <sheet name="Truy vấn &amp; parti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<sst xmlns="http://schemas.openxmlformats.org/spreadsheetml/2006/main" count="44" uniqueCount="44">
  <si>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Kết quả đo hiệu năng ghi - benchmark.py (Astra DB, LOCAL_QUORUM)</t>
  </si>
  <si>
    <t xml:space="preserve">Mỗi luồng ghi 40 bản ghi tuần tự (chờ phản hồi rồi mới ghi tiếp). Đo ngày 21/10/2026, máy ở Việt Nam, database ở AWS us-east-2.</t>
  </si>
  <si>
    <t xml:space="preserve">Số luồng</t>
  </si>
  <si>
    <t xml:space="preserve">Bản ghi</t>
  </si>
  <si>
    <t xml:space="preserve">Thành công</t>
  </si>
  <si>
    <t xml:space="preserve">Thời gian (s)</t>
  </si>
  <si>
    <t xml:space="preserve">Tốc độ (bản ghi/s)</t>
  </si>
  <si>
    <t xml:space="preserve">TB (ms)</t>
  </si>
  <si>
    <t xml:space="preserve">p50 (ms)</t>
  </si>
  <si>
    <t xml:space="preserve">p95 (ms)</t>
  </si>
  <si>
    <t xml:space="preserve">p99 (ms)</t>
  </si>
  <si>
    <t xml:space="preserve">Lỗi (bản ghi)</t>
  </si>
  <si>
    <t xml:space="preserve">Tỷ lệ lỗi (%)</t>
  </si>
  <si>
    <t xml:space="preserve">Độ trễ TB so với 1 luồng (x)</t>
  </si>
  <si>
    <t xml:space="preserve">Tổng</t>
  </si>
  <si>
    <t xml:space="preserve">Chú thích</t>
  </si>
  <si>
    <t xml:space="preserve">Chữ xanh = số đo thực tế (nhập tay từ benchmark_result.md); chữ đen = công thức tính từ các ô đó.</t>
  </si>
  <si>
    <t xml:space="preserve">Tốc độ = Thành công / Thời gian. Tốc độ tăng theo số luồng nhưng không tuyến tính (giới hạn mạng VN-Mỹ, gói Astra miễn phí, Python).</t>
  </si>
  <si>
    <t xml:space="preserve">Để thay số mới: sửa các ô chữ xanh ở hàng 5-7, các cột công thức tự cập nhật.</t>
  </si>
  <si>
    <t xml:space="preserve">Truy vấn dải thời gian và kích thước partition</t>
  </si>
  <si>
    <t xml:space="preserve">Chỉ tiêu</t>
  </si>
  <si>
    <t xml:space="preserve">Giá trị</t>
  </si>
  <si>
    <t xml:space="preserve">Ghi chú</t>
  </si>
  <si>
    <t xml:space="preserve">Trạm đo truy vấn</t>
  </si>
  <si>
    <t xml:space="preserve">ST01</t>
  </si>
  <si>
    <t xml:space="preserve">Khoảng 2 giờ qua</t>
  </si>
  <si>
    <t xml:space="preserve">Số dòng trả về</t>
  </si>
  <si>
    <t xml:space="preserve">Vượt fetch_size = 500 nên driver lấy 2 trang</t>
  </si>
  <si>
    <t xml:space="preserve">Fetch size (dòng/trang)</t>
  </si>
  <si>
    <t xml:space="preserve">db.py: default_fetch_size</t>
  </si>
  <si>
    <t xml:space="preserve">Số trang ước tính</t>
  </si>
  <si>
    <t xml:space="preserve">Mỗi trang = 1 vòng mạng</t>
  </si>
  <si>
    <t xml:space="preserve">Thời gian TB (ms)</t>
  </si>
  <si>
    <t xml:space="preserve">5 lần chạy</t>
  </si>
  <si>
    <t xml:space="preserve">Thời gian min (ms)</t>
  </si>
  <si>
    <t xml:space="preserve">Thời gian max (ms)</t>
  </si>
  <si>
    <t xml:space="preserve">TB mỗi trang (ms)</t>
  </si>
  <si>
    <t xml:space="preserve">Xấp xỉ độ trễ một vòng mạng VN-Mỹ</t>
  </si>
  <si>
    <t xml:space="preserve">Bản ghi ghi vào BENCH01</t>
  </si>
  <si>
    <t xml:space="preserve">Tổng đã ghi ở 3 mức tải</t>
  </si>
  <si>
    <t xml:space="preserve">Số dòng COUNT trên partition</t>
  </si>
  <si>
    <t xml:space="preserve">COUNT(*) trên một partition (BENCH01, ngày 2026-10-21)</t>
  </si>
  <si>
    <t xml:space="preserve">Chênh lệch</t>
  </si>
  <si>
    <t xml:space="preserve">Do luồng giả lập nền ghi thêm vào BENCH01 khi đang đo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</si>
</sst>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General"/>
    <numFmt numFmtId="168" formatCode="0.0%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E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Tốc độ ghi theo số luồng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'Kết quả ghi'!E4</c:f>
              <c:strCache>
                <c:ptCount val="1"/>
                <c:pt idx="0">
                  <c:v>Tốc độ (bản ghi/s)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'Kết quả ghi'!$A$5:$A$7</c:f>
              <c:strCach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strCache>
            </c:strRef>
          </c:cat>
          <c:val>
            <c:numRef>
              <c:f>'Kết quả ghi'!$E$5:$E$7</c:f>
              <c:numCache>
                <c:formatCode>0.0</c:formatCode>
                <c:ptCount val="3"/>
                <c:pt idx="0">
                  <c:v>1.48148148148148</c:v>
                </c:pt>
                <c:pt idx="1">
                  <c:v>5.22193211488251</c:v>
                </c:pt>
                <c:pt idx="2">
                  <c:v>6.98080279232112</c:v>
                </c:pt>
              </c:numCache>
            </c:numRef>
          </c:val>
        </c:ser>
        <c:gapWidth val="150"/>
        <c:overlap val="0"/>
        <c:axId val="47637118"/>
        <c:axId val="92559143"/>
      </c:barChart>
      <c:catAx>
        <c:axId val="476371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luồng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59143"/>
        <c:crosses val="autoZero"/>
        <c:auto val="1"/>
        <c:lblAlgn val="ctr"/>
        <c:lblOffset val="100"/>
        <c:noMultiLvlLbl val="0"/>
      </c:catAx>
      <c:valAx>
        <c:axId val="92559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bản ghi/s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37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Độ trễ ghi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'Kết quả ghi'!F4</c:f>
              <c:strCache>
                <c:ptCount val="1"/>
                <c:pt idx="0">
                  <c:v>TB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'Kết quả ghi'!$A$5:$A$7</c:f>
              <c:strCach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strCache>
            </c:strRef>
          </c:cat>
          <c:val>
            <c:numRef>
              <c:f>'Kết quả ghi'!$F$5:$F$7</c:f>
              <c:numCache>
                <c:formatCode>#,##0</c:formatCode>
                <c:ptCount val="3"/>
                <c:pt idx="0">
                  <c:v>675</c:v>
                </c:pt>
                <c:pt idx="1">
                  <c:v>923</c:v>
                </c:pt>
                <c:pt idx="2">
                  <c:v>1375</c:v>
                </c:pt>
              </c:numCache>
            </c:numRef>
          </c:val>
        </c:ser>
        <c:ser>
          <c:idx val="1"/>
          <c:order val="1"/>
          <c:tx>
            <c:strRef>
              <c:f>'Kết quả ghi'!H4</c:f>
              <c:strCache>
                <c:ptCount val="1"/>
                <c:pt idx="0">
                  <c:v>p95 (ms)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'Kết quả ghi'!$A$5:$A$7</c:f>
              <c:strCach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strCache>
            </c:strRef>
          </c:cat>
          <c:val>
            <c:numRef>
              <c:f>'Kết quả ghi'!$H$5:$H$7</c:f>
              <c:numCache>
                <c:formatCode>#,##0</c:formatCode>
                <c:ptCount val="3"/>
                <c:pt idx="0">
                  <c:v>1136</c:v>
                </c:pt>
                <c:pt idx="1">
                  <c:v>1530</c:v>
                </c:pt>
                <c:pt idx="2">
                  <c:v>2324</c:v>
                </c:pt>
              </c:numCache>
            </c:numRef>
          </c:val>
        </c:ser>
        <c:gapWidth val="150"/>
        <c:overlap val="0"/>
        <c:axId val="91809457"/>
        <c:axId val="50431945"/>
      </c:barChart>
      <c:catAx>
        <c:axId val="91809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31945"/>
        <c:crosses val="autoZero"/>
        <c:auto val="1"/>
        <c:lblAlgn val="ctr"/>
        <c:lblOffset val="100"/>
        <c:noMultiLvlLbl val="0"/>
      </c:catAx>
      <c:valAx>
        <c:axId val="50431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094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176040</xdr:rowOff>
    </xdr:from>
    <xdr:to>
      <xdr:col>5</xdr:col>
      <xdr:colOff>380160</xdr:colOff>
      <xdr:row>28</xdr:row>
      <xdr:rowOff>18000</xdr:rowOff>
    </xdr:to>
    <xdr:graphicFrame>
      <xdr:nvGraphicFramePr>
        <xdr:cNvPr id="0" name="Chart 1"/>
        <xdr:cNvGraphicFramePr/>
      </xdr:nvGraphicFramePr>
      <xdr:xfrm>
        <a:off x="0" y="3048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176040</xdr:rowOff>
    </xdr:from>
    <xdr:to>
      <xdr:col>11</xdr:col>
      <xdr:colOff>873360</xdr:colOff>
      <xdr:row>28</xdr:row>
      <xdr:rowOff>18000</xdr:rowOff>
    </xdr:to>
    <xdr:graphicFrame>
      <xdr:nvGraphicFramePr>
        <xdr:cNvPr id="1" name="Chart 2"/>
        <xdr:cNvGraphicFramePr/>
      </xdr:nvGraphicFramePr>
      <xdr:xfrm>
        <a:off x="5004360" y="3048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9" min="6" style="0" width="10"/>
    <col collapsed="false" customWidth="true" hidden="false" outlineLevel="0" max="11" min="10" style="0" width="12"/>
    <col collapsed="false" customWidth="true" hidden="false" outlineLevel="0" max="12" min="1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n">
        <v>40</v>
      </c>
      <c r="C5" s="4" t="n">
        <v>40</v>
      </c>
      <c r="D5" s="5" t="n">
        <v>27</v>
      </c>
      <c r="E5" s="6" t="n">
        <f aca="false">C5/D5</f>
        <v>1.48148148148148</v>
      </c>
      <c r="F5" s="7" t="n">
        <v>675</v>
      </c>
      <c r="G5" s="7" t="n">
        <v>604</v>
      </c>
      <c r="H5" s="7" t="n">
        <v>1136</v>
      </c>
      <c r="I5" s="7" t="n">
        <v>2542</v>
      </c>
      <c r="J5" s="8" t="n">
        <f aca="false">B5-C5</f>
        <v>0</v>
      </c>
      <c r="K5" s="9" t="n">
        <f aca="false">J5/B5</f>
        <v>0</v>
      </c>
      <c r="L5" s="10" t="n">
        <f aca="false">F5/$F$5</f>
        <v>1</v>
      </c>
    </row>
    <row r="6" customFormat="false" ht="15" hidden="false" customHeight="false" outlineLevel="0" collapsed="false">
      <c r="A6" s="4" t="n">
        <v>5</v>
      </c>
      <c r="B6" s="4" t="n">
        <v>200</v>
      </c>
      <c r="C6" s="4" t="n">
        <v>200</v>
      </c>
      <c r="D6" s="5" t="n">
        <v>38.3</v>
      </c>
      <c r="E6" s="6" t="n">
        <f aca="false">C6/D6</f>
        <v>5.22193211488251</v>
      </c>
      <c r="F6" s="7" t="n">
        <v>923</v>
      </c>
      <c r="G6" s="7" t="n">
        <v>853</v>
      </c>
      <c r="H6" s="7" t="n">
        <v>1530</v>
      </c>
      <c r="I6" s="7" t="n">
        <v>1849</v>
      </c>
      <c r="J6" s="8" t="n">
        <f aca="false">B6-C6</f>
        <v>0</v>
      </c>
      <c r="K6" s="9" t="n">
        <f aca="false">J6/B6</f>
        <v>0</v>
      </c>
      <c r="L6" s="10" t="n">
        <f aca="false">F6/$F$5</f>
        <v>1.36740740740741</v>
      </c>
    </row>
    <row r="7" customFormat="false" ht="15" hidden="false" customHeight="false" outlineLevel="0" collapsed="false">
      <c r="A7" s="4" t="n">
        <v>10</v>
      </c>
      <c r="B7" s="4" t="n">
        <v>400</v>
      </c>
      <c r="C7" s="4" t="n">
        <v>400</v>
      </c>
      <c r="D7" s="5" t="n">
        <v>57.3</v>
      </c>
      <c r="E7" s="6" t="n">
        <f aca="false">C7/D7</f>
        <v>6.98080279232112</v>
      </c>
      <c r="F7" s="7" t="n">
        <v>1375</v>
      </c>
      <c r="G7" s="7" t="n">
        <v>1162</v>
      </c>
      <c r="H7" s="7" t="n">
        <v>2324</v>
      </c>
      <c r="I7" s="7" t="n">
        <v>7000</v>
      </c>
      <c r="J7" s="8" t="n">
        <f aca="false">B7-C7</f>
        <v>0</v>
      </c>
      <c r="K7" s="9" t="n">
        <f aca="false">J7/B7</f>
        <v>0</v>
      </c>
      <c r="L7" s="10" t="n">
        <f aca="false">F7/$F$5</f>
        <v>2.03703703703704</v>
      </c>
    </row>
    <row r="8" customFormat="false" ht="15" hidden="false" customHeight="false" outlineLevel="0" collapsed="false">
      <c r="A8" s="11" t="s">
        <v>14</v>
      </c>
      <c r="B8" s="11" t="n">
        <f aca="false">SUM(B5:B7)</f>
        <v>640</v>
      </c>
      <c r="C8" s="11" t="n">
        <f aca="false">SUM(C5:C7)</f>
        <v>640</v>
      </c>
      <c r="D8" s="11"/>
      <c r="E8" s="11"/>
      <c r="F8" s="11"/>
      <c r="G8" s="11"/>
      <c r="H8" s="11"/>
      <c r="I8" s="11"/>
      <c r="J8" s="11" t="n">
        <f aca="false">SUM(J5:J7)</f>
        <v>0</v>
      </c>
      <c r="K8" s="12" t="n">
        <f aca="false">J8/B8</f>
        <v>0</v>
      </c>
      <c r="L8" s="11"/>
    </row>
    <row r="10" customFormat="false" ht="15" hidden="false" customHeight="false" outlineLevel="0" collapsed="false">
      <c r="A10" s="13" t="s">
        <v>15</v>
      </c>
    </row>
    <row r="11" customFormat="false" ht="15" hidden="false" customHeight="false" outlineLevel="0" collapsed="false">
      <c r="A11" s="14" t="s">
        <v>16</v>
      </c>
    </row>
    <row r="12" customFormat="false" ht="15" hidden="false" customHeight="false" outlineLevel="0" collapsed="false">
      <c r="A12" s="14" t="s">
        <v>17</v>
      </c>
    </row>
    <row r="13" customFormat="false" ht="15" hidden="false" customHeight="false" outlineLevel="0" collapsed="false">
      <c r="A13" s="1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" t="s">
        <v>19</v>
      </c>
    </row>
    <row r="3" customFormat="false" ht="15" hidden="false" customHeight="false" outlineLevel="0" collapsed="false">
      <c r="A3" s="15" t="s">
        <v>20</v>
      </c>
      <c r="B3" s="15" t="s">
        <v>21</v>
      </c>
      <c r="C3" s="15" t="s">
        <v>22</v>
      </c>
    </row>
    <row r="4" customFormat="false" ht="15" hidden="false" customHeight="false" outlineLevel="0" collapsed="false">
      <c r="A4" s="16" t="s">
        <v>23</v>
      </c>
      <c r="B4" s="17" t="s">
        <v>24</v>
      </c>
      <c r="C4" s="16" t="s">
        <v>25</v>
      </c>
    </row>
    <row r="5" customFormat="false" ht="15" hidden="false" customHeight="false" outlineLevel="0" collapsed="false">
      <c r="A5" s="16" t="s">
        <v>26</v>
      </c>
      <c r="B5" s="18" t="n">
        <v>793</v>
      </c>
      <c r="C5" s="16" t="s">
        <v>27</v>
      </c>
    </row>
    <row r="6" customFormat="false" ht="15" hidden="false" customHeight="false" outlineLevel="0" collapsed="false">
      <c r="A6" s="16" t="s">
        <v>28</v>
      </c>
      <c r="B6" s="17" t="n">
        <v>500</v>
      </c>
      <c r="C6" s="16" t="s">
        <v>29</v>
      </c>
    </row>
    <row r="7" customFormat="false" ht="15" hidden="false" customHeight="false" outlineLevel="0" collapsed="false">
      <c r="A7" s="16" t="s">
        <v>30</v>
      </c>
      <c r="B7" s="19" t="n">
        <f aca="false">ROUNDUP(B5/B6,0)</f>
        <v>2</v>
      </c>
      <c r="C7" s="16" t="s">
        <v>31</v>
      </c>
    </row>
    <row r="8" customFormat="false" ht="15" hidden="false" customHeight="false" outlineLevel="0" collapsed="false">
      <c r="A8" s="16" t="s">
        <v>32</v>
      </c>
      <c r="B8" s="18" t="n">
        <v>2531</v>
      </c>
      <c r="C8" s="16" t="s">
        <v>33</v>
      </c>
    </row>
    <row r="9" customFormat="false" ht="15" hidden="false" customHeight="false" outlineLevel="0" collapsed="false">
      <c r="A9" s="16" t="s">
        <v>34</v>
      </c>
      <c r="B9" s="18" t="n">
        <v>1262</v>
      </c>
      <c r="C9" s="16"/>
    </row>
    <row r="10" customFormat="false" ht="15" hidden="false" customHeight="false" outlineLevel="0" collapsed="false">
      <c r="A10" s="16" t="s">
        <v>35</v>
      </c>
      <c r="B10" s="18" t="n">
        <v>5119</v>
      </c>
      <c r="C10" s="16"/>
    </row>
    <row r="11" customFormat="false" ht="15" hidden="false" customHeight="false" outlineLevel="0" collapsed="false">
      <c r="A11" s="16" t="s">
        <v>36</v>
      </c>
      <c r="B11" s="20" t="n">
        <f aca="false">B8/B7</f>
        <v>1265.5</v>
      </c>
      <c r="C11" s="16" t="s">
        <v>37</v>
      </c>
    </row>
    <row r="12" customFormat="false" ht="15" hidden="false" customHeight="false" outlineLevel="0" collapsed="false">
      <c r="A12" s="16"/>
      <c r="B12" s="17"/>
      <c r="C12" s="16"/>
    </row>
    <row r="13" customFormat="false" ht="15" hidden="false" customHeight="false" outlineLevel="0" collapsed="false">
      <c r="A13" s="16" t="s">
        <v>38</v>
      </c>
      <c r="B13" s="21" t="n">
        <f aca="false">'Kết quả ghi'!B8</f>
        <v>640</v>
      </c>
      <c r="C13" s="16" t="s">
        <v>39</v>
      </c>
    </row>
    <row r="14" customFormat="false" ht="15" hidden="false" customHeight="false" outlineLevel="0" collapsed="false">
      <c r="A14" s="16" t="s">
        <v>40</v>
      </c>
      <c r="B14" s="18" t="n">
        <v>666</v>
      </c>
      <c r="C14" s="16" t="s">
        <v>41</v>
      </c>
    </row>
    <row r="15" customFormat="false" ht="15" hidden="false" customHeight="false" outlineLevel="0" collapsed="false">
      <c r="A15" s="16" t="s">
        <v>42</v>
      </c>
      <c r="B15" s="20" t="n">
        <f aca="false">B14-B13</f>
        <v>26</v>
      </c>
      <c r="C15" s="1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2026-10-21T09:53:15Z</dcterms:created>
  <dc:creator>openpyxl</dc:creator>
  <dc:description/>
  <dc:language>en-US</dc:language>
  <cp:lastModifiedBy/>
  <dcterms:modified xsi:type="dcterms:W3CDTF">2026-10-21T09:53:17Z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